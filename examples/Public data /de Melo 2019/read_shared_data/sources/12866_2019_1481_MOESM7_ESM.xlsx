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50"/>
  </bookViews>
  <sheets>
    <sheet name="Plan1" sheetId="1" r:id="rId1"/>
    <sheet name="Plan2" sheetId="2" r:id="rId2"/>
    <sheet name="Plan3" sheetId="3" r:id="rId3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3"/>
  <c r="F24"/>
  <c r="F25"/>
  <c r="F26"/>
  <c r="F27"/>
  <c r="F28"/>
  <c r="F29"/>
  <c r="F22"/>
  <c r="E23"/>
  <c r="E24"/>
  <c r="E25"/>
  <c r="E26"/>
  <c r="E27"/>
  <c r="E28"/>
  <c r="E29"/>
  <c r="E22"/>
  <c r="F8"/>
  <c r="F9"/>
  <c r="F10"/>
  <c r="F11"/>
  <c r="F12"/>
  <c r="F13"/>
  <c r="F14"/>
  <c r="F7"/>
  <c r="E8"/>
  <c r="E9"/>
  <c r="E10"/>
  <c r="E11"/>
  <c r="E12"/>
  <c r="E13"/>
  <c r="E14"/>
  <c r="E7"/>
  <c r="F22" i="2" l="1"/>
  <c r="F23"/>
  <c r="F24"/>
  <c r="F25"/>
  <c r="F26"/>
  <c r="F27"/>
  <c r="F28"/>
  <c r="F21"/>
  <c r="E22"/>
  <c r="E23"/>
  <c r="E24"/>
  <c r="E25"/>
  <c r="E26"/>
  <c r="E27"/>
  <c r="E28"/>
  <c r="E21"/>
  <c r="F7"/>
  <c r="F8"/>
  <c r="F9"/>
  <c r="F10"/>
  <c r="F11"/>
  <c r="F12"/>
  <c r="F13"/>
  <c r="F6"/>
  <c r="E7"/>
  <c r="E8"/>
  <c r="E9"/>
  <c r="E10"/>
  <c r="E11"/>
  <c r="E12"/>
  <c r="E13"/>
  <c r="E6"/>
</calcChain>
</file>

<file path=xl/sharedStrings.xml><?xml version="1.0" encoding="utf-8"?>
<sst xmlns="http://schemas.openxmlformats.org/spreadsheetml/2006/main" count="86" uniqueCount="24">
  <si>
    <t>Bioassays with phage concentraion of 1 x 10E6 pfu/mL</t>
  </si>
  <si>
    <t xml:space="preserve">Bioassay with phage BrSP1 </t>
  </si>
  <si>
    <t>Absorbance at 600 nm</t>
  </si>
  <si>
    <t>Time*</t>
  </si>
  <si>
    <t>Mean</t>
  </si>
  <si>
    <t>Standard deviation</t>
  </si>
  <si>
    <t>Control:</t>
  </si>
  <si>
    <t>Bioassays without phages</t>
  </si>
  <si>
    <t>Bioassays with phage concentraion of 1 x 10E7 pfu/mL</t>
  </si>
  <si>
    <t>*Time: hours post-infection</t>
  </si>
  <si>
    <t>Bioassays with P. aeruginosa strain BOIJ02</t>
  </si>
  <si>
    <t>Bioassays with P. aeruginosa strain ATCC 27853</t>
  </si>
  <si>
    <t xml:space="preserve">Bioassay without phage BrSP1 </t>
  </si>
  <si>
    <t>T = 0</t>
  </si>
  <si>
    <t>T = 2</t>
  </si>
  <si>
    <t>T = 4</t>
  </si>
  <si>
    <t>T = 6</t>
  </si>
  <si>
    <t>T = 8</t>
  </si>
  <si>
    <t>T= 10</t>
  </si>
  <si>
    <t>T = 12</t>
  </si>
  <si>
    <t>T = 24</t>
  </si>
  <si>
    <t>Control</t>
  </si>
  <si>
    <t>BrSP1</t>
  </si>
  <si>
    <t>Bioassays with P. aeruginosa strain Lfar01</t>
  </si>
</sst>
</file>

<file path=xl/styles.xml><?xml version="1.0" encoding="utf-8"?>
<styleSheet xmlns="http://schemas.openxmlformats.org/spreadsheetml/2006/main">
  <numFmts count="1">
    <numFmt numFmtId="164" formatCode="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  <xf numFmtId="164" fontId="1" fillId="0" borderId="0" xfId="0" applyNumberFormat="1" applyFont="1" applyFill="1" applyBorder="1" applyAlignment="1">
      <alignment horizontal="center"/>
    </xf>
    <xf numFmtId="0" fontId="3" fillId="0" borderId="0" xfId="0" applyFont="1" applyFill="1" applyBorder="1"/>
    <xf numFmtId="164" fontId="3" fillId="0" borderId="0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3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/>
    <xf numFmtId="0" fontId="4" fillId="0" borderId="1" xfId="0" applyFont="1" applyFill="1" applyBorder="1"/>
    <xf numFmtId="0" fontId="5" fillId="0" borderId="0" xfId="0" applyFont="1" applyFill="1" applyBorder="1"/>
    <xf numFmtId="0" fontId="6" fillId="0" borderId="0" xfId="0" applyFont="1"/>
    <xf numFmtId="0" fontId="0" fillId="0" borderId="1" xfId="0" applyBorder="1"/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64" fontId="8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6"/>
  <sheetViews>
    <sheetView tabSelected="1" topLeftCell="A27" zoomScale="70" zoomScaleNormal="70" workbookViewId="0">
      <selection activeCell="K9" sqref="K9"/>
    </sheetView>
  </sheetViews>
  <sheetFormatPr defaultRowHeight="15"/>
  <cols>
    <col min="7" max="7" width="20" customWidth="1"/>
  </cols>
  <sheetData>
    <row r="1" spans="1:19" ht="21">
      <c r="A1" s="13" t="s">
        <v>23</v>
      </c>
    </row>
    <row r="2" spans="1:19">
      <c r="A2" s="1"/>
      <c r="B2" s="2"/>
      <c r="D2" s="1"/>
      <c r="E2" s="1"/>
      <c r="F2" s="4"/>
      <c r="G2" s="2"/>
      <c r="H2" s="1"/>
      <c r="I2" s="4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1">
      <c r="A3" s="1"/>
      <c r="B3" s="12" t="s">
        <v>0</v>
      </c>
      <c r="C3" s="3"/>
      <c r="D3" s="1"/>
      <c r="E3" s="1"/>
      <c r="F3" s="4"/>
      <c r="G3" s="2"/>
      <c r="H3" s="1"/>
      <c r="I3" s="4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5" t="s">
        <v>1</v>
      </c>
      <c r="C4" s="1"/>
      <c r="D4" s="1"/>
      <c r="E4" s="1"/>
      <c r="F4" s="4"/>
      <c r="G4" s="2"/>
      <c r="H4" s="1"/>
      <c r="I4" s="23"/>
      <c r="J4" s="4"/>
      <c r="K4" s="1"/>
      <c r="L4" s="1"/>
      <c r="M4" s="1"/>
      <c r="N4" s="1"/>
      <c r="O4" s="1"/>
      <c r="P4" s="1"/>
      <c r="Q4" s="1"/>
      <c r="R4" s="1"/>
      <c r="S4" s="1"/>
    </row>
    <row r="5" spans="1:19">
      <c r="A5" s="1"/>
      <c r="B5" s="2"/>
      <c r="C5" s="1" t="s">
        <v>2</v>
      </c>
      <c r="D5" s="1"/>
      <c r="E5" s="1"/>
      <c r="F5" s="4"/>
      <c r="G5" s="2"/>
      <c r="H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1"/>
      <c r="B6" s="2" t="s">
        <v>3</v>
      </c>
      <c r="C6" s="2">
        <v>1</v>
      </c>
      <c r="D6" s="2">
        <v>2</v>
      </c>
      <c r="E6" s="2">
        <v>3</v>
      </c>
      <c r="F6" s="4" t="s">
        <v>4</v>
      </c>
      <c r="G6" s="2" t="s">
        <v>5</v>
      </c>
      <c r="H6" s="1"/>
      <c r="I6" s="6"/>
      <c r="J6" s="25"/>
      <c r="K6" s="1"/>
      <c r="L6" s="1"/>
      <c r="M6" s="1"/>
      <c r="N6" s="1"/>
      <c r="O6" s="1"/>
      <c r="P6" s="1"/>
      <c r="Q6" s="1"/>
      <c r="R6" s="1"/>
      <c r="S6" s="1"/>
    </row>
    <row r="7" spans="1:19">
      <c r="A7" s="1"/>
      <c r="B7" s="7">
        <v>0</v>
      </c>
      <c r="C7" s="7">
        <v>2E-3</v>
      </c>
      <c r="D7" s="8">
        <v>2E-3</v>
      </c>
      <c r="E7" s="8">
        <v>2E-3</v>
      </c>
      <c r="F7" s="4">
        <v>2E-3</v>
      </c>
      <c r="G7" s="4">
        <v>0</v>
      </c>
      <c r="H7" s="1"/>
      <c r="I7" s="4"/>
      <c r="J7" s="4"/>
      <c r="K7" s="1"/>
      <c r="L7" s="1"/>
      <c r="M7" s="1"/>
      <c r="N7" s="1"/>
      <c r="O7" s="1"/>
      <c r="P7" s="1"/>
      <c r="Q7" s="1"/>
      <c r="R7" s="1"/>
      <c r="S7" s="1"/>
    </row>
    <row r="8" spans="1:19">
      <c r="A8" s="1"/>
      <c r="B8" s="7">
        <v>2</v>
      </c>
      <c r="C8" s="7">
        <v>2.4E-2</v>
      </c>
      <c r="D8" s="8">
        <v>2.7E-2</v>
      </c>
      <c r="E8" s="8">
        <v>2.5999999999999999E-2</v>
      </c>
      <c r="F8" s="4">
        <v>2.5666666666666667E-2</v>
      </c>
      <c r="G8" s="4">
        <v>1.527525231651946E-3</v>
      </c>
      <c r="H8" s="1"/>
      <c r="I8" s="4"/>
      <c r="J8" s="4"/>
      <c r="K8" s="1"/>
      <c r="L8" s="1"/>
      <c r="M8" s="1"/>
      <c r="N8" s="1"/>
      <c r="O8" s="1"/>
      <c r="P8" s="1"/>
      <c r="Q8" s="1"/>
      <c r="R8" s="1"/>
      <c r="S8" s="1"/>
    </row>
    <row r="9" spans="1:19">
      <c r="A9" s="1"/>
      <c r="B9" s="7">
        <v>4</v>
      </c>
      <c r="C9" s="7">
        <v>0.224</v>
      </c>
      <c r="D9" s="8">
        <v>0.24299999999999999</v>
      </c>
      <c r="E9" s="8">
        <v>0.245</v>
      </c>
      <c r="F9" s="4">
        <v>0.23733333333333331</v>
      </c>
      <c r="G9" s="4">
        <v>1.1590225767142467E-2</v>
      </c>
      <c r="H9" s="1"/>
      <c r="I9" s="4"/>
      <c r="J9" s="4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/>
      <c r="B10" s="7">
        <v>6</v>
      </c>
      <c r="C10" s="7">
        <v>5.5E-2</v>
      </c>
      <c r="D10" s="8">
        <v>6.0999999999999999E-2</v>
      </c>
      <c r="E10" s="8">
        <v>6.6000000000000003E-2</v>
      </c>
      <c r="F10" s="4">
        <v>6.0666666666666667E-2</v>
      </c>
      <c r="G10" s="4">
        <v>5.5075705472861034E-3</v>
      </c>
      <c r="H10" s="1"/>
      <c r="I10" s="4"/>
      <c r="J10" s="4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"/>
      <c r="B11" s="7">
        <v>8</v>
      </c>
      <c r="C11" s="7">
        <v>6.7000000000000004E-2</v>
      </c>
      <c r="D11" s="8">
        <v>6.9000000000000006E-2</v>
      </c>
      <c r="E11" s="8">
        <v>7.0999999999999994E-2</v>
      </c>
      <c r="F11" s="4">
        <v>6.9000000000000006E-2</v>
      </c>
      <c r="G11" s="4">
        <v>1.9999999999999948E-3</v>
      </c>
      <c r="H11" s="1"/>
      <c r="I11" s="4"/>
      <c r="J11" s="4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"/>
      <c r="B12" s="7">
        <v>10</v>
      </c>
      <c r="C12" s="7">
        <v>7.1999999999999995E-2</v>
      </c>
      <c r="D12" s="8">
        <v>7.5999999999999998E-2</v>
      </c>
      <c r="E12" s="8">
        <v>8.2000000000000003E-2</v>
      </c>
      <c r="F12" s="4">
        <v>7.6666666666666661E-2</v>
      </c>
      <c r="G12" s="4">
        <v>5.0332229568471705E-3</v>
      </c>
      <c r="H12" s="1"/>
      <c r="I12" s="4"/>
      <c r="J12" s="4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"/>
      <c r="B13" s="7">
        <v>12</v>
      </c>
      <c r="C13" s="7">
        <v>0.105</v>
      </c>
      <c r="D13" s="8">
        <v>0.105</v>
      </c>
      <c r="E13" s="8">
        <v>0.109</v>
      </c>
      <c r="F13" s="4">
        <v>0.10633333333333334</v>
      </c>
      <c r="G13" s="4">
        <v>2.3094010767585054E-3</v>
      </c>
      <c r="H13" s="1"/>
      <c r="I13" s="4"/>
      <c r="J13" s="4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"/>
      <c r="B14" s="7">
        <v>24</v>
      </c>
      <c r="C14" s="7">
        <v>2.0880000000000001</v>
      </c>
      <c r="D14" s="8">
        <v>2.089</v>
      </c>
      <c r="E14" s="8">
        <v>2.0590000000000002</v>
      </c>
      <c r="F14" s="4">
        <v>2.0786666666666664</v>
      </c>
      <c r="G14" s="4">
        <v>1.7039170558842659E-2</v>
      </c>
      <c r="H14" s="1"/>
      <c r="I14" s="4"/>
      <c r="J14" s="4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"/>
      <c r="B15" s="2"/>
      <c r="C15" s="2"/>
      <c r="D15" s="2"/>
      <c r="E15" s="2"/>
      <c r="F15" s="4"/>
      <c r="G15" s="4"/>
      <c r="H15" s="1"/>
      <c r="I15" s="4"/>
      <c r="J15" s="4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/>
      <c r="B16" s="2"/>
      <c r="C16" s="1"/>
      <c r="D16" s="1"/>
      <c r="E16" s="1"/>
      <c r="F16" s="4"/>
      <c r="G16" s="4"/>
      <c r="H16" s="1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/>
      <c r="B17" s="9" t="s">
        <v>6</v>
      </c>
      <c r="C17" s="1"/>
      <c r="D17" s="1"/>
      <c r="E17" s="1"/>
      <c r="F17" s="4"/>
      <c r="G17" s="4"/>
      <c r="H17" s="1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/>
      <c r="B18" s="5" t="s">
        <v>7</v>
      </c>
      <c r="C18" s="1"/>
      <c r="D18" s="1"/>
      <c r="E18" s="1"/>
      <c r="F18" s="4"/>
      <c r="G18" s="4"/>
      <c r="H18" s="1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/>
      <c r="B19" s="2"/>
      <c r="C19" s="1" t="s">
        <v>2</v>
      </c>
      <c r="D19" s="1"/>
      <c r="E19" s="1"/>
      <c r="F19" s="4"/>
      <c r="G19" s="4"/>
      <c r="H19" s="1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/>
      <c r="B20" s="2" t="s">
        <v>3</v>
      </c>
      <c r="C20" s="2">
        <v>1</v>
      </c>
      <c r="D20" s="2">
        <v>2</v>
      </c>
      <c r="E20" s="2">
        <v>3</v>
      </c>
      <c r="F20" s="4" t="s">
        <v>4</v>
      </c>
      <c r="G20" s="2" t="s">
        <v>5</v>
      </c>
      <c r="H20" s="1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/>
      <c r="B21" s="7">
        <v>0</v>
      </c>
      <c r="C21" s="7">
        <v>2E-3</v>
      </c>
      <c r="D21" s="8">
        <v>2E-3</v>
      </c>
      <c r="E21" s="8">
        <v>2E-3</v>
      </c>
      <c r="F21" s="4">
        <v>2E-3</v>
      </c>
      <c r="G21" s="4">
        <v>0</v>
      </c>
      <c r="H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/>
      <c r="B22" s="7">
        <v>2</v>
      </c>
      <c r="C22" s="7">
        <v>2.7E-2</v>
      </c>
      <c r="D22" s="8">
        <v>0.03</v>
      </c>
      <c r="E22" s="8">
        <v>2.5999999999999999E-2</v>
      </c>
      <c r="F22" s="4">
        <v>2.7666666666666662E-2</v>
      </c>
      <c r="G22" s="4">
        <v>2.0816659994661326E-3</v>
      </c>
      <c r="H22" s="1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/>
      <c r="B23" s="7">
        <v>4</v>
      </c>
      <c r="C23" s="7">
        <v>0.24399999999999999</v>
      </c>
      <c r="D23" s="8">
        <v>0.27100000000000002</v>
      </c>
      <c r="E23" s="8">
        <v>0.26</v>
      </c>
      <c r="F23" s="4">
        <v>0.25833333333333336</v>
      </c>
      <c r="G23" s="4">
        <v>1.3576941236277546E-2</v>
      </c>
      <c r="H23" s="1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/>
      <c r="B24" s="7">
        <v>6</v>
      </c>
      <c r="C24" s="7">
        <v>1.337</v>
      </c>
      <c r="D24" s="8">
        <v>1.31</v>
      </c>
      <c r="E24" s="8">
        <v>1.3049999999999999</v>
      </c>
      <c r="F24" s="4">
        <v>1.3173333333333332</v>
      </c>
      <c r="G24" s="4">
        <v>1.7214335111567135E-2</v>
      </c>
      <c r="H24" s="1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/>
      <c r="B25" s="7">
        <v>8</v>
      </c>
      <c r="C25" s="7">
        <v>1.6319999999999999</v>
      </c>
      <c r="D25" s="8">
        <v>1.69</v>
      </c>
      <c r="E25" s="8">
        <v>1.69</v>
      </c>
      <c r="F25" s="4">
        <v>1.6706666666666667</v>
      </c>
      <c r="G25" s="4">
        <v>3.3486315612998321E-2</v>
      </c>
      <c r="H25" s="1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/>
      <c r="B26" s="7">
        <v>10</v>
      </c>
      <c r="C26" s="7">
        <v>2.0579999999999998</v>
      </c>
      <c r="D26" s="8">
        <v>2.1549999999999998</v>
      </c>
      <c r="E26" s="8">
        <v>2.12</v>
      </c>
      <c r="F26" s="4">
        <v>2.1109999999999998</v>
      </c>
      <c r="G26" s="4">
        <v>4.9122296363260556E-2</v>
      </c>
      <c r="H26" s="1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1"/>
      <c r="B27" s="7">
        <v>12</v>
      </c>
      <c r="C27" s="7">
        <v>2.331</v>
      </c>
      <c r="D27" s="8">
        <v>2.3319999999999999</v>
      </c>
      <c r="E27" s="8">
        <v>2.3319999999999999</v>
      </c>
      <c r="F27" s="4">
        <v>2.3316666666666666</v>
      </c>
      <c r="G27" s="4">
        <v>5.7735026918956215E-4</v>
      </c>
      <c r="H27" s="1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"/>
      <c r="B28" s="7">
        <v>24</v>
      </c>
      <c r="C28" s="7">
        <v>2.39</v>
      </c>
      <c r="D28" s="8">
        <v>2.4569999999999999</v>
      </c>
      <c r="E28" s="8">
        <v>2.4569999999999999</v>
      </c>
      <c r="F28" s="4">
        <v>2.4346666666666663</v>
      </c>
      <c r="G28" s="4">
        <v>3.8682468035704763E-2</v>
      </c>
      <c r="H28" s="1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"/>
      <c r="B29" s="2"/>
      <c r="C29" s="1"/>
      <c r="D29" s="1"/>
      <c r="E29" s="1"/>
      <c r="F29" s="4"/>
      <c r="G29" s="2"/>
      <c r="H29" s="1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"/>
      <c r="B30" s="2"/>
      <c r="C30" s="1"/>
      <c r="D30" s="1"/>
      <c r="E30" s="1"/>
      <c r="F30" s="4"/>
      <c r="G30" s="2"/>
      <c r="H30" s="1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/>
      <c r="B31" s="2"/>
      <c r="C31" s="1"/>
      <c r="D31" s="1"/>
      <c r="E31" s="1"/>
      <c r="F31" s="4"/>
      <c r="G31" s="2"/>
      <c r="H31" s="1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.75">
      <c r="A32" s="1"/>
      <c r="B32" s="12" t="s">
        <v>8</v>
      </c>
      <c r="C32" s="1"/>
      <c r="D32" s="1"/>
      <c r="E32" s="10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/>
      <c r="B33" s="1"/>
      <c r="C33" s="1"/>
      <c r="D33" s="1"/>
      <c r="E33" s="10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B34" s="5" t="s">
        <v>1</v>
      </c>
      <c r="C34" s="1"/>
      <c r="D34" s="1"/>
      <c r="E34" s="1"/>
      <c r="F34" s="4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B35" s="2"/>
      <c r="C35" s="1" t="s">
        <v>2</v>
      </c>
      <c r="D35" s="1"/>
      <c r="E35" s="1"/>
      <c r="F35" s="4"/>
      <c r="G35" s="4" t="s">
        <v>22</v>
      </c>
      <c r="H35" s="1"/>
      <c r="I35" s="6"/>
      <c r="J35" s="25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B36" s="2" t="s">
        <v>3</v>
      </c>
      <c r="C36" s="2">
        <v>1</v>
      </c>
      <c r="D36" s="2">
        <v>2</v>
      </c>
      <c r="E36" s="2">
        <v>3</v>
      </c>
      <c r="F36" s="4" t="s">
        <v>4</v>
      </c>
      <c r="G36" s="4" t="s">
        <v>5</v>
      </c>
      <c r="H36" s="1"/>
      <c r="I36" s="4"/>
      <c r="J36" s="4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B37" s="8">
        <v>0</v>
      </c>
      <c r="C37" s="8">
        <v>4.0000000000000001E-3</v>
      </c>
      <c r="D37" s="8">
        <v>4.0000000000000001E-3</v>
      </c>
      <c r="E37" s="8">
        <v>4.0000000000000001E-3</v>
      </c>
      <c r="F37" s="4">
        <v>4.0000000000000001E-3</v>
      </c>
      <c r="G37" s="4">
        <v>0</v>
      </c>
      <c r="H37" s="1"/>
      <c r="I37" s="4"/>
      <c r="J37" s="4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B38" s="8">
        <v>2</v>
      </c>
      <c r="C38" s="8">
        <v>1.2999999999999999E-2</v>
      </c>
      <c r="D38" s="8">
        <v>1.2E-2</v>
      </c>
      <c r="E38" s="8">
        <v>1.2E-2</v>
      </c>
      <c r="F38" s="4">
        <v>1.2333333333333335E-2</v>
      </c>
      <c r="G38" s="4">
        <v>5.7735026918962525E-4</v>
      </c>
      <c r="H38" s="1"/>
      <c r="I38" s="4"/>
      <c r="J38" s="4"/>
      <c r="K38" s="1"/>
      <c r="L38" s="1"/>
      <c r="M38" s="1"/>
      <c r="N38" s="1"/>
      <c r="O38" s="1"/>
      <c r="P38" s="1"/>
      <c r="Q38" s="1"/>
      <c r="R38" s="1"/>
    </row>
    <row r="39" spans="1:19">
      <c r="B39" s="8">
        <v>4</v>
      </c>
      <c r="C39" s="8">
        <v>0.12</v>
      </c>
      <c r="D39" s="8">
        <v>0.128</v>
      </c>
      <c r="E39" s="8">
        <v>0.14000000000000001</v>
      </c>
      <c r="F39" s="4">
        <v>0.12933333333333333</v>
      </c>
      <c r="G39" s="4">
        <v>1.0066445913694341E-2</v>
      </c>
      <c r="H39" s="1"/>
      <c r="I39" s="4"/>
      <c r="J39" s="4"/>
      <c r="K39" s="1"/>
      <c r="L39" s="1"/>
      <c r="M39" s="1"/>
      <c r="N39" s="1"/>
      <c r="O39" s="1"/>
      <c r="P39" s="1"/>
      <c r="Q39" s="1"/>
      <c r="R39" s="1"/>
    </row>
    <row r="40" spans="1:19">
      <c r="B40" s="8">
        <v>6</v>
      </c>
      <c r="C40" s="8">
        <v>2.1999999999999999E-2</v>
      </c>
      <c r="D40" s="8">
        <v>2.5999999999999999E-2</v>
      </c>
      <c r="E40" s="8">
        <v>3.1E-2</v>
      </c>
      <c r="F40" s="4">
        <v>2.6333333333333334E-2</v>
      </c>
      <c r="G40" s="4">
        <v>4.5092497528228951E-3</v>
      </c>
      <c r="H40" s="1"/>
      <c r="I40" s="4"/>
      <c r="J40" s="4"/>
      <c r="K40" s="1"/>
      <c r="L40" s="1"/>
      <c r="M40" s="1"/>
      <c r="N40" s="1"/>
      <c r="O40" s="1"/>
      <c r="P40" s="1"/>
      <c r="Q40" s="1"/>
      <c r="R40" s="1"/>
    </row>
    <row r="41" spans="1:19">
      <c r="B41" s="8">
        <v>8</v>
      </c>
      <c r="C41" s="8">
        <v>4.3999999999999997E-2</v>
      </c>
      <c r="D41" s="8">
        <v>4.5999999999999999E-2</v>
      </c>
      <c r="E41" s="8">
        <v>4.1000000000000002E-2</v>
      </c>
      <c r="F41" s="4">
        <v>4.3666666666666666E-2</v>
      </c>
      <c r="G41" s="4">
        <v>2.5166114784235818E-3</v>
      </c>
      <c r="H41" s="1"/>
      <c r="I41" s="4"/>
      <c r="J41" s="4"/>
      <c r="K41" s="1"/>
      <c r="L41" s="1"/>
      <c r="M41" s="1"/>
      <c r="N41" s="1"/>
      <c r="O41" s="1"/>
      <c r="P41" s="1"/>
      <c r="Q41" s="1"/>
      <c r="R41" s="1"/>
    </row>
    <row r="42" spans="1:19">
      <c r="B42" s="8">
        <v>10</v>
      </c>
      <c r="C42" s="8">
        <v>5.6000000000000001E-2</v>
      </c>
      <c r="D42" s="8">
        <v>6.3E-2</v>
      </c>
      <c r="E42" s="8">
        <v>5.6000000000000001E-2</v>
      </c>
      <c r="F42" s="4">
        <v>5.8333333333333327E-2</v>
      </c>
      <c r="G42" s="4">
        <v>4.0414518843273801E-3</v>
      </c>
      <c r="H42" s="1"/>
      <c r="I42" s="4"/>
      <c r="J42" s="4"/>
      <c r="K42" s="1"/>
      <c r="L42" s="1"/>
      <c r="M42" s="1"/>
      <c r="N42" s="1"/>
      <c r="O42" s="1"/>
      <c r="P42" s="1"/>
      <c r="Q42" s="1"/>
      <c r="R42" s="1"/>
    </row>
    <row r="43" spans="1:19">
      <c r="B43" s="8">
        <v>12</v>
      </c>
      <c r="C43" s="8">
        <v>0.112</v>
      </c>
      <c r="D43" s="8">
        <v>0.126</v>
      </c>
      <c r="E43" s="8">
        <v>0.13800000000000001</v>
      </c>
      <c r="F43" s="4">
        <v>0.12533333333333332</v>
      </c>
      <c r="G43" s="4">
        <v>1.3012814197295428E-2</v>
      </c>
      <c r="H43" s="1"/>
      <c r="I43" s="4"/>
      <c r="J43" s="4"/>
      <c r="K43" s="1"/>
      <c r="L43" s="1"/>
      <c r="M43" s="1"/>
      <c r="N43" s="1"/>
      <c r="O43" s="1"/>
      <c r="P43" s="1"/>
      <c r="Q43" s="1"/>
      <c r="R43" s="1"/>
    </row>
    <row r="44" spans="1:19">
      <c r="B44" s="8">
        <v>24</v>
      </c>
      <c r="C44" s="8">
        <v>1.839</v>
      </c>
      <c r="D44" s="8">
        <v>1.857</v>
      </c>
      <c r="E44" s="11">
        <v>2.5379999999999998</v>
      </c>
      <c r="F44" s="4">
        <v>2.0779999999999998</v>
      </c>
      <c r="G44" s="4">
        <v>0.39847333662366957</v>
      </c>
      <c r="H44" s="1"/>
      <c r="I44" s="4"/>
      <c r="J44" s="1"/>
      <c r="K44" s="1"/>
      <c r="L44" s="1"/>
      <c r="M44" s="1"/>
      <c r="N44" s="1"/>
      <c r="O44" s="1"/>
      <c r="P44" s="1"/>
      <c r="Q44" s="1"/>
      <c r="R44" s="1"/>
    </row>
    <row r="45" spans="1:19">
      <c r="B45" s="1"/>
      <c r="C45" s="1"/>
      <c r="D45" s="1"/>
      <c r="E45" s="1"/>
      <c r="F45" s="4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9">
      <c r="B46" s="1"/>
      <c r="C46" s="1"/>
      <c r="D46" s="1"/>
      <c r="E46" s="1"/>
      <c r="F46" s="4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9">
      <c r="B47" s="9" t="s">
        <v>6</v>
      </c>
      <c r="C47" s="1"/>
      <c r="D47" s="1"/>
      <c r="E47" s="1"/>
      <c r="F47" s="4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9">
      <c r="B48" s="5" t="s">
        <v>7</v>
      </c>
      <c r="C48" s="1"/>
      <c r="D48" s="1"/>
      <c r="E48" s="1"/>
      <c r="F48" s="4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>
      <c r="B49" s="2"/>
      <c r="C49" s="1" t="s">
        <v>2</v>
      </c>
      <c r="D49" s="1"/>
      <c r="E49" s="1"/>
      <c r="F49" s="4"/>
      <c r="G49" s="4" t="s">
        <v>21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>
      <c r="B50" s="2" t="s">
        <v>3</v>
      </c>
      <c r="C50" s="2">
        <v>1</v>
      </c>
      <c r="D50" s="2">
        <v>2</v>
      </c>
      <c r="E50" s="2">
        <v>3</v>
      </c>
      <c r="F50" s="4" t="s">
        <v>4</v>
      </c>
      <c r="G50" s="4" t="s">
        <v>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>
      <c r="B51" s="8">
        <v>0</v>
      </c>
      <c r="C51" s="8">
        <v>4.0000000000000001E-3</v>
      </c>
      <c r="D51" s="8">
        <v>4.0000000000000001E-3</v>
      </c>
      <c r="E51" s="8">
        <v>4.0000000000000001E-3</v>
      </c>
      <c r="F51" s="4">
        <v>4.0000000000000001E-3</v>
      </c>
      <c r="G51" s="4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>
      <c r="B52" s="8">
        <v>2</v>
      </c>
      <c r="C52" s="8">
        <v>1.2999999999999999E-2</v>
      </c>
      <c r="D52" s="8">
        <v>1.2999999999999999E-2</v>
      </c>
      <c r="E52" s="8">
        <v>1.2999999999999999E-2</v>
      </c>
      <c r="F52" s="4">
        <v>1.2999999999999999E-2</v>
      </c>
      <c r="G52" s="4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>
      <c r="B53" s="8">
        <v>4</v>
      </c>
      <c r="C53" s="8">
        <v>0.14499999999999999</v>
      </c>
      <c r="D53" s="8">
        <v>0.16200000000000001</v>
      </c>
      <c r="E53" s="8">
        <v>0.16500000000000001</v>
      </c>
      <c r="F53" s="4">
        <v>0.15733333333333333</v>
      </c>
      <c r="G53" s="4">
        <v>1.0785793124908967E-2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>
      <c r="B54" s="8">
        <v>6</v>
      </c>
      <c r="C54" s="8">
        <v>1.23</v>
      </c>
      <c r="D54" s="8">
        <v>1.252</v>
      </c>
      <c r="E54" s="8">
        <v>1.222</v>
      </c>
      <c r="F54" s="4">
        <v>1.2346666666666668</v>
      </c>
      <c r="G54" s="4">
        <v>1.5534906930308071E-2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>
      <c r="B55" s="8">
        <v>8</v>
      </c>
      <c r="C55" s="8">
        <v>1.7030000000000001</v>
      </c>
      <c r="D55" s="8">
        <v>1.73</v>
      </c>
      <c r="E55" s="8">
        <v>1.7729999999999999</v>
      </c>
      <c r="F55" s="4">
        <v>1.7353333333333332</v>
      </c>
      <c r="G55" s="4">
        <v>3.5303446479534088E-2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>
      <c r="B56" s="8">
        <v>10</v>
      </c>
      <c r="C56" s="8">
        <v>2.2360000000000002</v>
      </c>
      <c r="D56" s="8">
        <v>2.1230000000000002</v>
      </c>
      <c r="E56" s="8">
        <v>2.1579999999999999</v>
      </c>
      <c r="F56" s="4">
        <v>2.172333333333333</v>
      </c>
      <c r="G56" s="4">
        <v>5.7847500666263332E-2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>
      <c r="B57" s="8">
        <v>12</v>
      </c>
      <c r="C57" s="8">
        <v>2.5379999999999998</v>
      </c>
      <c r="D57" s="8">
        <v>2.5379999999999998</v>
      </c>
      <c r="E57" s="8">
        <v>2.5379999999999998</v>
      </c>
      <c r="F57" s="4">
        <v>2.5379999999999998</v>
      </c>
      <c r="G57" s="4"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>
      <c r="B58" s="8">
        <v>24</v>
      </c>
      <c r="C58" s="8">
        <v>2.6349999999999998</v>
      </c>
      <c r="D58" s="8">
        <v>2.6349999999999998</v>
      </c>
      <c r="E58" s="8">
        <v>2.5379999999999998</v>
      </c>
      <c r="F58" s="4">
        <v>2.6026666666666665</v>
      </c>
      <c r="G58" s="4">
        <v>5.6002976111393682E-2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>
      <c r="B59" s="1"/>
      <c r="C59" s="1"/>
      <c r="D59" s="1"/>
      <c r="E59" s="1"/>
      <c r="F59" s="10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>
      <c r="B60" s="1" t="s">
        <v>9</v>
      </c>
      <c r="C60" s="1"/>
      <c r="D60" s="1"/>
      <c r="E60" s="1"/>
      <c r="F60" s="10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>
      <c r="B61" s="1"/>
      <c r="C61" s="1"/>
      <c r="D61" s="1"/>
      <c r="E61" s="1"/>
      <c r="F61" s="10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>
      <c r="B62" s="1"/>
      <c r="C62" s="1"/>
      <c r="D62" s="1"/>
      <c r="E62" s="1"/>
      <c r="F62" s="10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>
      <c r="B63" s="1"/>
      <c r="C63" s="1"/>
      <c r="D63" s="1"/>
      <c r="E63" s="1"/>
      <c r="F63" s="10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>
      <c r="B64" s="1"/>
      <c r="C64" s="1"/>
      <c r="D64" s="1"/>
      <c r="E64" s="1"/>
      <c r="F64" s="10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2:18">
      <c r="B65" s="1"/>
      <c r="C65" s="1"/>
      <c r="D65" s="1"/>
      <c r="E65" s="1"/>
      <c r="F65" s="10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2:18">
      <c r="B66" s="1"/>
      <c r="C66" s="1"/>
      <c r="D66" s="1"/>
      <c r="E66" s="1"/>
      <c r="F66" s="10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zoomScale="70" zoomScaleNormal="70" workbookViewId="0">
      <selection activeCell="L22" sqref="L22:L23"/>
    </sheetView>
  </sheetViews>
  <sheetFormatPr defaultRowHeight="15"/>
  <cols>
    <col min="6" max="6" width="20.7109375" customWidth="1"/>
    <col min="7" max="7" width="16.140625" customWidth="1"/>
    <col min="8" max="9" width="9.140625" style="26"/>
  </cols>
  <sheetData>
    <row r="1" spans="1:9" ht="21">
      <c r="A1" s="13" t="s">
        <v>11</v>
      </c>
    </row>
    <row r="2" spans="1:9" ht="21">
      <c r="A2" s="9" t="s">
        <v>6</v>
      </c>
      <c r="B2" s="3"/>
      <c r="C2" s="1"/>
      <c r="D2" s="1"/>
      <c r="E2" s="4"/>
      <c r="F2" s="2"/>
    </row>
    <row r="3" spans="1:9">
      <c r="A3" s="22" t="s">
        <v>12</v>
      </c>
      <c r="B3" s="15"/>
      <c r="C3" s="15"/>
      <c r="D3" s="15"/>
      <c r="E3" s="16"/>
      <c r="F3" s="15"/>
    </row>
    <row r="4" spans="1:9">
      <c r="A4" s="15"/>
      <c r="B4" s="15" t="s">
        <v>2</v>
      </c>
      <c r="C4" s="15"/>
      <c r="D4" s="15"/>
      <c r="E4" s="16"/>
      <c r="F4" s="15"/>
    </row>
    <row r="5" spans="1:9">
      <c r="A5" s="17" t="s">
        <v>3</v>
      </c>
      <c r="B5" s="17">
        <v>1</v>
      </c>
      <c r="C5" s="17">
        <v>2</v>
      </c>
      <c r="D5" s="17">
        <v>3</v>
      </c>
      <c r="E5" s="18" t="s">
        <v>4</v>
      </c>
      <c r="F5" s="17" t="s">
        <v>5</v>
      </c>
      <c r="H5" s="16"/>
      <c r="I5" s="16"/>
    </row>
    <row r="6" spans="1:9">
      <c r="A6" s="17" t="s">
        <v>13</v>
      </c>
      <c r="B6" s="20">
        <v>3.0000000000000001E-3</v>
      </c>
      <c r="C6" s="20">
        <v>5.0000000000000001E-3</v>
      </c>
      <c r="D6" s="20">
        <v>2E-3</v>
      </c>
      <c r="E6" s="20">
        <f>AVERAGE(B6:D6)</f>
        <v>3.3333333333333335E-3</v>
      </c>
      <c r="F6" s="20">
        <f>_xlfn.STDEV.S(B6:D6)</f>
        <v>1.5275252316519468E-3</v>
      </c>
      <c r="H6" s="27"/>
      <c r="I6" s="27"/>
    </row>
    <row r="7" spans="1:9">
      <c r="A7" s="17" t="s">
        <v>14</v>
      </c>
      <c r="B7" s="20">
        <v>1.7000000000000001E-2</v>
      </c>
      <c r="C7" s="20">
        <v>2.5999999999999999E-2</v>
      </c>
      <c r="D7" s="20">
        <v>4.2000000000000003E-2</v>
      </c>
      <c r="E7" s="20">
        <f t="shared" ref="E7:E13" si="0">AVERAGE(B7:D7)</f>
        <v>2.8333333333333332E-2</v>
      </c>
      <c r="F7" s="20">
        <f t="shared" ref="F7:F13" si="1">_xlfn.STDEV.S(B7:D7)</f>
        <v>1.2662279942148393E-2</v>
      </c>
      <c r="H7" s="27"/>
      <c r="I7" s="27"/>
    </row>
    <row r="8" spans="1:9">
      <c r="A8" s="17" t="s">
        <v>15</v>
      </c>
      <c r="B8" s="20">
        <v>0.20499999999999999</v>
      </c>
      <c r="C8" s="20">
        <v>0.23300000000000001</v>
      </c>
      <c r="D8" s="20">
        <v>0.216</v>
      </c>
      <c r="E8" s="20">
        <f t="shared" si="0"/>
        <v>0.218</v>
      </c>
      <c r="F8" s="20">
        <f t="shared" si="1"/>
        <v>1.4106735979665896E-2</v>
      </c>
      <c r="H8" s="27"/>
      <c r="I8" s="27"/>
    </row>
    <row r="9" spans="1:9">
      <c r="A9" s="17" t="s">
        <v>16</v>
      </c>
      <c r="B9" s="20">
        <v>1.2390000000000001</v>
      </c>
      <c r="C9" s="20">
        <v>1.212</v>
      </c>
      <c r="D9" s="20">
        <v>1.284</v>
      </c>
      <c r="E9" s="20">
        <f t="shared" si="0"/>
        <v>1.2450000000000001</v>
      </c>
      <c r="F9" s="20">
        <f t="shared" si="1"/>
        <v>3.6373066958946446E-2</v>
      </c>
      <c r="H9" s="27"/>
      <c r="I9" s="27"/>
    </row>
    <row r="10" spans="1:9">
      <c r="A10" s="17" t="s">
        <v>17</v>
      </c>
      <c r="B10" s="20">
        <v>2.2469999999999999</v>
      </c>
      <c r="C10" s="20">
        <v>2.2080000000000002</v>
      </c>
      <c r="D10" s="21">
        <v>2.306</v>
      </c>
      <c r="E10" s="20">
        <f t="shared" si="0"/>
        <v>2.2536666666666667</v>
      </c>
      <c r="F10" s="20">
        <f t="shared" si="1"/>
        <v>4.9338963642676245E-2</v>
      </c>
      <c r="H10" s="27"/>
      <c r="I10" s="27"/>
    </row>
    <row r="11" spans="1:9">
      <c r="A11" s="17" t="s">
        <v>18</v>
      </c>
      <c r="B11" s="20">
        <v>2.8</v>
      </c>
      <c r="C11" s="20">
        <v>2.7610000000000001</v>
      </c>
      <c r="D11" s="20">
        <v>2.7709999999999999</v>
      </c>
      <c r="E11" s="20">
        <f t="shared" si="0"/>
        <v>2.7773333333333334</v>
      </c>
      <c r="F11" s="20">
        <f t="shared" si="1"/>
        <v>2.0256686138984528E-2</v>
      </c>
      <c r="H11" s="27"/>
      <c r="I11" s="27"/>
    </row>
    <row r="12" spans="1:9">
      <c r="A12" s="17" t="s">
        <v>19</v>
      </c>
      <c r="B12" s="20">
        <v>3.1930000000000001</v>
      </c>
      <c r="C12" s="20">
        <v>3.0640000000000001</v>
      </c>
      <c r="D12" s="20">
        <v>3.09</v>
      </c>
      <c r="E12" s="20">
        <f t="shared" si="0"/>
        <v>3.1156666666666664</v>
      </c>
      <c r="F12" s="20">
        <f t="shared" si="1"/>
        <v>6.8222674627526431E-2</v>
      </c>
      <c r="H12" s="27"/>
      <c r="I12" s="27"/>
    </row>
    <row r="13" spans="1:9">
      <c r="A13" s="17" t="s">
        <v>20</v>
      </c>
      <c r="B13" s="20">
        <v>3.262</v>
      </c>
      <c r="C13" s="20">
        <v>3.22</v>
      </c>
      <c r="D13" s="20">
        <v>3.1739999999999999</v>
      </c>
      <c r="E13" s="20">
        <f t="shared" si="0"/>
        <v>3.218666666666667</v>
      </c>
      <c r="F13" s="20">
        <f t="shared" si="1"/>
        <v>4.4015148907317544E-2</v>
      </c>
      <c r="H13" s="27"/>
      <c r="I13" s="27"/>
    </row>
    <row r="16" spans="1:9" ht="21">
      <c r="A16" s="12" t="s">
        <v>8</v>
      </c>
      <c r="B16" s="3"/>
      <c r="C16" s="1"/>
      <c r="D16" s="1"/>
      <c r="E16" s="4"/>
      <c r="F16" s="2"/>
    </row>
    <row r="17" spans="1:6">
      <c r="A17" s="22" t="s">
        <v>1</v>
      </c>
      <c r="B17" s="15"/>
      <c r="C17" s="15"/>
      <c r="D17" s="19"/>
      <c r="E17" s="19"/>
      <c r="F17" s="19"/>
    </row>
    <row r="18" spans="1:6">
      <c r="A18" s="19"/>
      <c r="B18" s="19"/>
      <c r="C18" s="19"/>
      <c r="D18" s="19"/>
      <c r="E18" s="19"/>
      <c r="F18" s="19"/>
    </row>
    <row r="19" spans="1:6">
      <c r="A19" s="15"/>
      <c r="B19" s="15" t="s">
        <v>2</v>
      </c>
      <c r="C19" s="15"/>
      <c r="D19" s="15"/>
      <c r="E19" s="16"/>
      <c r="F19" s="15"/>
    </row>
    <row r="20" spans="1:6">
      <c r="A20" s="17" t="s">
        <v>3</v>
      </c>
      <c r="B20" s="17">
        <v>1</v>
      </c>
      <c r="C20" s="17">
        <v>2</v>
      </c>
      <c r="D20" s="17">
        <v>3</v>
      </c>
      <c r="E20" s="18" t="s">
        <v>4</v>
      </c>
      <c r="F20" s="17" t="s">
        <v>5</v>
      </c>
    </row>
    <row r="21" spans="1:6">
      <c r="A21" s="17" t="s">
        <v>13</v>
      </c>
      <c r="B21" s="20">
        <v>3.0000000000000001E-3</v>
      </c>
      <c r="C21" s="20">
        <v>5.0000000000000001E-3</v>
      </c>
      <c r="D21" s="20">
        <v>2E-3</v>
      </c>
      <c r="E21" s="20">
        <f>AVERAGE(B21:D21)</f>
        <v>3.3333333333333335E-3</v>
      </c>
      <c r="F21" s="20">
        <f>_xlfn.STDEV.S(B21:D21)</f>
        <v>1.5275252316519468E-3</v>
      </c>
    </row>
    <row r="22" spans="1:6">
      <c r="A22" s="17" t="s">
        <v>14</v>
      </c>
      <c r="B22" s="20">
        <v>3.0000000000000001E-3</v>
      </c>
      <c r="C22" s="20">
        <v>5.0000000000000001E-3</v>
      </c>
      <c r="D22" s="20">
        <v>1.2999999999999999E-2</v>
      </c>
      <c r="E22" s="20">
        <f t="shared" ref="E22:E28" si="2">AVERAGE(B22:D22)</f>
        <v>6.9999999999999993E-3</v>
      </c>
      <c r="F22" s="20">
        <f t="shared" ref="F22:F28" si="3">_xlfn.STDEV.S(B22:D22)</f>
        <v>5.2915026221291824E-3</v>
      </c>
    </row>
    <row r="23" spans="1:6">
      <c r="A23" s="17" t="s">
        <v>15</v>
      </c>
      <c r="B23" s="20">
        <v>0.01</v>
      </c>
      <c r="C23" s="20">
        <v>2E-3</v>
      </c>
      <c r="D23" s="20">
        <v>4.0000000000000001E-3</v>
      </c>
      <c r="E23" s="20">
        <f t="shared" si="2"/>
        <v>5.3333333333333332E-3</v>
      </c>
      <c r="F23" s="20">
        <f t="shared" si="3"/>
        <v>4.163331998932266E-3</v>
      </c>
    </row>
    <row r="24" spans="1:6">
      <c r="A24" s="17" t="s">
        <v>16</v>
      </c>
      <c r="B24" s="20">
        <v>0.01</v>
      </c>
      <c r="C24" s="20">
        <v>2E-3</v>
      </c>
      <c r="D24" s="20">
        <v>3.0000000000000001E-3</v>
      </c>
      <c r="E24" s="20">
        <f t="shared" si="2"/>
        <v>5.0000000000000001E-3</v>
      </c>
      <c r="F24" s="20">
        <f t="shared" si="3"/>
        <v>4.3588989435406744E-3</v>
      </c>
    </row>
    <row r="25" spans="1:6">
      <c r="A25" s="17" t="s">
        <v>17</v>
      </c>
      <c r="B25" s="20">
        <v>4.0000000000000001E-3</v>
      </c>
      <c r="C25" s="20">
        <v>1E-3</v>
      </c>
      <c r="D25" s="20">
        <v>1.0999999999999999E-2</v>
      </c>
      <c r="E25" s="20">
        <f t="shared" si="2"/>
        <v>5.3333333333333332E-3</v>
      </c>
      <c r="F25" s="20">
        <f t="shared" si="3"/>
        <v>5.1316014394468847E-3</v>
      </c>
    </row>
    <row r="26" spans="1:6">
      <c r="A26" s="17" t="s">
        <v>18</v>
      </c>
      <c r="B26" s="20">
        <v>2.5999999999999999E-2</v>
      </c>
      <c r="C26" s="20">
        <v>3.1E-2</v>
      </c>
      <c r="D26" s="20">
        <v>1.9E-2</v>
      </c>
      <c r="E26" s="20">
        <f t="shared" si="2"/>
        <v>2.5333333333333333E-2</v>
      </c>
      <c r="F26" s="20">
        <f t="shared" si="3"/>
        <v>6.0277137733416976E-3</v>
      </c>
    </row>
    <row r="27" spans="1:6">
      <c r="A27" s="17" t="s">
        <v>19</v>
      </c>
      <c r="B27" s="20">
        <v>0.16</v>
      </c>
      <c r="C27" s="20">
        <v>0.159</v>
      </c>
      <c r="D27" s="20">
        <v>0.155</v>
      </c>
      <c r="E27" s="20">
        <f t="shared" si="2"/>
        <v>0.158</v>
      </c>
      <c r="F27" s="20">
        <f t="shared" si="3"/>
        <v>2.6457513110645929E-3</v>
      </c>
    </row>
    <row r="28" spans="1:6">
      <c r="A28" s="17" t="s">
        <v>20</v>
      </c>
      <c r="B28" s="20">
        <v>2.9620000000000002</v>
      </c>
      <c r="C28" s="20">
        <v>2.8359999999999999</v>
      </c>
      <c r="D28" s="20">
        <v>3.1320000000000001</v>
      </c>
      <c r="E28" s="20">
        <f t="shared" si="2"/>
        <v>2.9766666666666666</v>
      </c>
      <c r="F28" s="20">
        <f t="shared" si="3"/>
        <v>0.1485440450954981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zoomScale="70" zoomScaleNormal="70" workbookViewId="0">
      <selection activeCell="F24" sqref="F24"/>
    </sheetView>
  </sheetViews>
  <sheetFormatPr defaultRowHeight="15"/>
  <cols>
    <col min="5" max="5" width="10.42578125" customWidth="1"/>
    <col min="6" max="6" width="18.85546875" customWidth="1"/>
    <col min="7" max="7" width="20.85546875" customWidth="1"/>
  </cols>
  <sheetData>
    <row r="1" spans="1:9" ht="21">
      <c r="A1" s="13" t="s">
        <v>10</v>
      </c>
    </row>
    <row r="2" spans="1:9" ht="21">
      <c r="A2" s="12"/>
      <c r="B2" s="3"/>
      <c r="C2" s="1"/>
      <c r="D2" s="1"/>
      <c r="E2" s="4"/>
      <c r="F2" s="2"/>
    </row>
    <row r="3" spans="1:9" ht="21">
      <c r="A3" s="9" t="s">
        <v>6</v>
      </c>
      <c r="B3" s="3"/>
      <c r="C3" s="1"/>
      <c r="D3" s="1"/>
      <c r="E3" s="4"/>
      <c r="F3" s="2"/>
    </row>
    <row r="4" spans="1:9">
      <c r="A4" s="22" t="s">
        <v>12</v>
      </c>
      <c r="B4" s="15"/>
      <c r="C4" s="15"/>
      <c r="D4" s="15"/>
      <c r="E4" s="16"/>
      <c r="F4" s="15"/>
      <c r="H4" s="25"/>
      <c r="I4" s="25"/>
    </row>
    <row r="5" spans="1:9">
      <c r="A5" s="15"/>
      <c r="B5" s="15" t="s">
        <v>2</v>
      </c>
      <c r="C5" s="15"/>
      <c r="D5" s="15"/>
      <c r="E5" s="16"/>
      <c r="F5" s="15"/>
      <c r="H5" s="24"/>
      <c r="I5" s="24"/>
    </row>
    <row r="6" spans="1:9">
      <c r="A6" s="17" t="s">
        <v>3</v>
      </c>
      <c r="B6" s="17">
        <v>1</v>
      </c>
      <c r="C6" s="17">
        <v>2</v>
      </c>
      <c r="D6" s="17">
        <v>3</v>
      </c>
      <c r="E6" s="18" t="s">
        <v>4</v>
      </c>
      <c r="F6" s="17" t="s">
        <v>5</v>
      </c>
      <c r="H6" s="24"/>
      <c r="I6" s="24"/>
    </row>
    <row r="7" spans="1:9">
      <c r="A7" s="17" t="s">
        <v>13</v>
      </c>
      <c r="B7" s="14">
        <v>1E-3</v>
      </c>
      <c r="C7" s="14">
        <v>1E-3</v>
      </c>
      <c r="D7" s="14">
        <v>3.0000000000000001E-3</v>
      </c>
      <c r="E7" s="20">
        <f>AVERAGE(B7:D7)</f>
        <v>1.6666666666666668E-3</v>
      </c>
      <c r="F7" s="20">
        <f>_xlfn.STDEV.S(B7:D7)</f>
        <v>1.1547005383792516E-3</v>
      </c>
      <c r="H7" s="24"/>
      <c r="I7" s="24"/>
    </row>
    <row r="8" spans="1:9">
      <c r="A8" s="17" t="s">
        <v>14</v>
      </c>
      <c r="B8" s="14">
        <v>2.5000000000000001E-2</v>
      </c>
      <c r="C8" s="14">
        <v>2.5999999999999999E-2</v>
      </c>
      <c r="D8" s="14">
        <v>1.7000000000000001E-2</v>
      </c>
      <c r="E8" s="20">
        <f t="shared" ref="E8:E14" si="0">AVERAGE(B8:D8)</f>
        <v>2.2666666666666668E-2</v>
      </c>
      <c r="F8" s="20">
        <f t="shared" ref="F8:F14" si="1">_xlfn.STDEV.S(B8:D8)</f>
        <v>4.9328828623162379E-3</v>
      </c>
      <c r="H8" s="24"/>
      <c r="I8" s="24"/>
    </row>
    <row r="9" spans="1:9">
      <c r="A9" s="17" t="s">
        <v>15</v>
      </c>
      <c r="B9" s="14">
        <v>0.26400000000000001</v>
      </c>
      <c r="C9" s="14">
        <v>0.26800000000000002</v>
      </c>
      <c r="D9" s="14">
        <v>0.29299999999999998</v>
      </c>
      <c r="E9" s="20">
        <f t="shared" si="0"/>
        <v>0.27499999999999997</v>
      </c>
      <c r="F9" s="20">
        <f t="shared" si="1"/>
        <v>1.5716233645501693E-2</v>
      </c>
      <c r="H9" s="24"/>
      <c r="I9" s="24"/>
    </row>
    <row r="10" spans="1:9">
      <c r="A10" s="17" t="s">
        <v>16</v>
      </c>
      <c r="B10" s="14">
        <v>0.77200000000000002</v>
      </c>
      <c r="C10" s="14">
        <v>0.67700000000000005</v>
      </c>
      <c r="D10" s="14">
        <v>0.69899999999999995</v>
      </c>
      <c r="E10" s="20">
        <f t="shared" si="0"/>
        <v>0.71600000000000008</v>
      </c>
      <c r="F10" s="20">
        <f t="shared" si="1"/>
        <v>4.9729267036625426E-2</v>
      </c>
      <c r="H10" s="24"/>
      <c r="I10" s="24"/>
    </row>
    <row r="11" spans="1:9">
      <c r="A11" s="17" t="s">
        <v>17</v>
      </c>
      <c r="B11" s="14">
        <v>1.0089999999999999</v>
      </c>
      <c r="C11" s="14">
        <v>1.0569999999999999</v>
      </c>
      <c r="D11" s="14">
        <v>1.1080000000000001</v>
      </c>
      <c r="E11" s="20">
        <f t="shared" si="0"/>
        <v>1.0580000000000001</v>
      </c>
      <c r="F11" s="20">
        <f t="shared" si="1"/>
        <v>4.950757517794635E-2</v>
      </c>
      <c r="H11" s="24"/>
      <c r="I11" s="24"/>
    </row>
    <row r="12" spans="1:9">
      <c r="A12" s="17" t="s">
        <v>18</v>
      </c>
      <c r="B12" s="14">
        <v>1.583</v>
      </c>
      <c r="C12" s="14">
        <v>1.4</v>
      </c>
      <c r="D12" s="14">
        <v>1.448</v>
      </c>
      <c r="E12" s="20">
        <f t="shared" si="0"/>
        <v>1.4769999999999996</v>
      </c>
      <c r="F12" s="20">
        <f t="shared" si="1"/>
        <v>9.4884139875956106E-2</v>
      </c>
      <c r="H12" s="24"/>
      <c r="I12" s="24"/>
    </row>
    <row r="13" spans="1:9">
      <c r="A13" s="17" t="s">
        <v>19</v>
      </c>
      <c r="B13" s="14">
        <v>1.7250000000000001</v>
      </c>
      <c r="C13" s="14">
        <v>1.8260000000000001</v>
      </c>
      <c r="D13" s="14">
        <v>1.9930000000000001</v>
      </c>
      <c r="E13" s="20">
        <f t="shared" si="0"/>
        <v>1.8480000000000001</v>
      </c>
      <c r="F13" s="20">
        <f t="shared" si="1"/>
        <v>0.13534770038681854</v>
      </c>
    </row>
    <row r="14" spans="1:9">
      <c r="A14" s="17" t="s">
        <v>20</v>
      </c>
      <c r="B14" s="14">
        <v>2.74</v>
      </c>
      <c r="C14" s="14">
        <v>2.97</v>
      </c>
      <c r="D14" s="14">
        <v>3.0390000000000001</v>
      </c>
      <c r="E14" s="20">
        <f t="shared" si="0"/>
        <v>2.9163333333333337</v>
      </c>
      <c r="F14" s="20">
        <f t="shared" si="1"/>
        <v>0.15655776356774304</v>
      </c>
    </row>
    <row r="17" spans="1:6" ht="21">
      <c r="A17" s="12" t="s">
        <v>8</v>
      </c>
      <c r="B17" s="3"/>
      <c r="C17" s="1"/>
      <c r="D17" s="1"/>
      <c r="E17" s="4"/>
      <c r="F17" s="2"/>
    </row>
    <row r="18" spans="1:6">
      <c r="A18" s="22" t="s">
        <v>1</v>
      </c>
      <c r="B18" s="15"/>
      <c r="C18" s="15"/>
      <c r="D18" s="19"/>
      <c r="E18" s="19"/>
      <c r="F18" s="19"/>
    </row>
    <row r="19" spans="1:6">
      <c r="A19" s="19"/>
      <c r="B19" s="19"/>
      <c r="C19" s="19"/>
      <c r="D19" s="19"/>
      <c r="E19" s="19"/>
      <c r="F19" s="19"/>
    </row>
    <row r="20" spans="1:6">
      <c r="A20" s="15"/>
      <c r="B20" s="15" t="s">
        <v>2</v>
      </c>
      <c r="C20" s="15"/>
      <c r="D20" s="15"/>
      <c r="E20" s="16"/>
      <c r="F20" s="15"/>
    </row>
    <row r="21" spans="1:6">
      <c r="A21" s="17" t="s">
        <v>3</v>
      </c>
      <c r="B21" s="17">
        <v>1</v>
      </c>
      <c r="C21" s="17">
        <v>2</v>
      </c>
      <c r="D21" s="17">
        <v>3</v>
      </c>
      <c r="E21" s="18" t="s">
        <v>4</v>
      </c>
      <c r="F21" s="17" t="s">
        <v>5</v>
      </c>
    </row>
    <row r="22" spans="1:6">
      <c r="A22" s="17" t="s">
        <v>13</v>
      </c>
      <c r="B22" s="14">
        <v>1E-3</v>
      </c>
      <c r="C22" s="14">
        <v>1E-3</v>
      </c>
      <c r="D22" s="14">
        <v>3.0000000000000001E-3</v>
      </c>
      <c r="E22" s="20">
        <f>AVERAGE(B22:D22)</f>
        <v>1.6666666666666668E-3</v>
      </c>
      <c r="F22" s="20">
        <f>_xlfn.STDEV.S(B22:D22)</f>
        <v>1.1547005383792516E-3</v>
      </c>
    </row>
    <row r="23" spans="1:6">
      <c r="A23" s="17" t="s">
        <v>14</v>
      </c>
      <c r="B23">
        <v>1.2999999999999999E-2</v>
      </c>
      <c r="C23">
        <v>1.7999999999999999E-2</v>
      </c>
      <c r="D23">
        <v>8.0000000000000002E-3</v>
      </c>
      <c r="E23" s="20">
        <f t="shared" ref="E23:E29" si="2">AVERAGE(B23:D23)</f>
        <v>1.2999999999999999E-2</v>
      </c>
      <c r="F23" s="20">
        <f t="shared" ref="F23:F29" si="3">_xlfn.STDEV.S(B23:D23)</f>
        <v>5.000000000000001E-3</v>
      </c>
    </row>
    <row r="24" spans="1:6">
      <c r="A24" s="17" t="s">
        <v>15</v>
      </c>
      <c r="B24">
        <v>1E-3</v>
      </c>
      <c r="C24">
        <v>6.0000000000000001E-3</v>
      </c>
      <c r="D24">
        <v>7.0000000000000001E-3</v>
      </c>
      <c r="E24" s="20">
        <f t="shared" si="2"/>
        <v>4.6666666666666671E-3</v>
      </c>
      <c r="F24" s="20">
        <f t="shared" si="3"/>
        <v>3.2145502536643179E-3</v>
      </c>
    </row>
    <row r="25" spans="1:6">
      <c r="A25" s="17" t="s">
        <v>16</v>
      </c>
      <c r="B25">
        <v>2E-3</v>
      </c>
      <c r="C25">
        <v>6.0000000000000001E-3</v>
      </c>
      <c r="D25">
        <v>5.0000000000000001E-3</v>
      </c>
      <c r="E25" s="20">
        <f t="shared" si="2"/>
        <v>4.333333333333334E-3</v>
      </c>
      <c r="F25" s="20">
        <f t="shared" si="3"/>
        <v>2.081665999466133E-3</v>
      </c>
    </row>
    <row r="26" spans="1:6">
      <c r="A26" s="17" t="s">
        <v>17</v>
      </c>
      <c r="B26">
        <v>6.0000000000000001E-3</v>
      </c>
      <c r="C26">
        <v>1.0999999999999999E-2</v>
      </c>
      <c r="D26">
        <v>1.7000000000000001E-2</v>
      </c>
      <c r="E26" s="20">
        <f t="shared" si="2"/>
        <v>1.1333333333333334E-2</v>
      </c>
      <c r="F26" s="20">
        <f t="shared" si="3"/>
        <v>5.5075705472860991E-3</v>
      </c>
    </row>
    <row r="27" spans="1:6">
      <c r="A27" s="17" t="s">
        <v>18</v>
      </c>
      <c r="B27">
        <v>3.2000000000000001E-2</v>
      </c>
      <c r="C27">
        <v>3.6999999999999998E-2</v>
      </c>
      <c r="D27">
        <v>3.7999999999999999E-2</v>
      </c>
      <c r="E27" s="20">
        <f t="shared" si="2"/>
        <v>3.5666666666666673E-2</v>
      </c>
      <c r="F27" s="20">
        <f t="shared" si="3"/>
        <v>3.2145502536643175E-3</v>
      </c>
    </row>
    <row r="28" spans="1:6">
      <c r="A28" s="17" t="s">
        <v>19</v>
      </c>
      <c r="B28">
        <v>0.30299999999999999</v>
      </c>
      <c r="C28">
        <v>0.35899999999999999</v>
      </c>
      <c r="D28">
        <v>0.308</v>
      </c>
      <c r="E28" s="20">
        <f t="shared" si="2"/>
        <v>0.32333333333333331</v>
      </c>
      <c r="F28" s="20">
        <f t="shared" si="3"/>
        <v>3.0989245446337237E-2</v>
      </c>
    </row>
    <row r="29" spans="1:6">
      <c r="A29" s="17" t="s">
        <v>20</v>
      </c>
      <c r="B29">
        <v>1.538</v>
      </c>
      <c r="C29">
        <v>1.5860000000000001</v>
      </c>
      <c r="D29">
        <v>1.726</v>
      </c>
      <c r="E29" s="20">
        <f t="shared" si="2"/>
        <v>1.6166666666666665</v>
      </c>
      <c r="F29" s="20">
        <f t="shared" si="3"/>
        <v>9.7679748839425901E-2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luiz wolff</dc:creator>
  <cp:lastModifiedBy>113350</cp:lastModifiedBy>
  <dcterms:created xsi:type="dcterms:W3CDTF">2018-09-08T22:07:40Z</dcterms:created>
  <dcterms:modified xsi:type="dcterms:W3CDTF">2019-04-26T20:11:22Z</dcterms:modified>
</cp:coreProperties>
</file>